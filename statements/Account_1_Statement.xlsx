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PEN_SKIES\statements\"/>
    </mc:Choice>
  </mc:AlternateContent>
  <xr:revisionPtr revIDLastSave="0" documentId="13_ncr:1_{964F8950-C41F-4B54-8E29-5B66B19496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9" i="1" l="1"/>
  <c r="D19" i="1"/>
  <c r="E12" i="1"/>
  <c r="D12" i="1"/>
  <c r="F12" i="1" s="1"/>
  <c r="F13" i="1" s="1"/>
  <c r="F19" i="1" s="1"/>
  <c r="I8" i="1"/>
  <c r="I19" i="1" s="1"/>
  <c r="K19" i="1" l="1"/>
</calcChain>
</file>

<file path=xl/sharedStrings.xml><?xml version="1.0" encoding="utf-8"?>
<sst xmlns="http://schemas.openxmlformats.org/spreadsheetml/2006/main" count="42" uniqueCount="27">
  <si>
    <t>STATEMENT OF ACCOUNT</t>
  </si>
  <si>
    <t>Account Name:Account 1</t>
  </si>
  <si>
    <t>Account No:0000000000</t>
  </si>
  <si>
    <t>period:From xx-xx-xxxx Till xx-xx-xxxx</t>
  </si>
  <si>
    <t xml:space="preserve">DATE </t>
  </si>
  <si>
    <t>INVOICE</t>
  </si>
  <si>
    <t>DESCRIPTION</t>
  </si>
  <si>
    <t>DEBIT</t>
  </si>
  <si>
    <t>CREDIT</t>
  </si>
  <si>
    <t>BALANCE</t>
  </si>
  <si>
    <t>NOTE</t>
  </si>
  <si>
    <t>Old Amount</t>
  </si>
  <si>
    <t>Difference</t>
  </si>
  <si>
    <t>open skies</t>
  </si>
  <si>
    <t xml:space="preserve"> </t>
  </si>
  <si>
    <t>NO.</t>
  </si>
  <si>
    <t>USD</t>
  </si>
  <si>
    <t>statement</t>
  </si>
  <si>
    <t>OPENING BALANCE B/F</t>
  </si>
  <si>
    <t>09/17/2025</t>
  </si>
  <si>
    <t>Attached Invoice</t>
  </si>
  <si>
    <t>Edited</t>
  </si>
  <si>
    <t>09/19/2026</t>
  </si>
  <si>
    <t>1</t>
  </si>
  <si>
    <t>COC 001</t>
  </si>
  <si>
    <t>ADVANCE RECEIVED</t>
  </si>
  <si>
    <t>09/20/2026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</si>
</sst>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Bell MT"/>
      <family val="1"/>
    </font>
    <font>
      <b/>
      <sz val="20"/>
      <color theme="1"/>
      <name val="Bell MT"/>
      <family val="1"/>
    </font>
    <font>
      <sz val="11"/>
      <color theme="1"/>
      <name val="Bell MT"/>
      <family val="1"/>
    </font>
    <font>
      <b/>
      <sz val="12"/>
      <color theme="1"/>
      <name val="Bell MT"/>
      <family val="1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Bell MT"/>
      <family val="1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43" fontId="1" fillId="0" borderId="0"/>
    <xf numFmtId="0" fontId="2" fillId="0" borderId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6" fillId="0" borderId="4" xfId="0" applyFont="1" applyBorder="1" applyAlignment="1">
      <alignment horizontal="center"/>
    </xf>
    <xf numFmtId="0" fontId="7" fillId="0" borderId="7" xfId="0" applyFont="1" applyBorder="1"/>
    <xf numFmtId="0" fontId="4" fillId="0" borderId="9" xfId="0" applyFont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10" fillId="0" borderId="13" xfId="0" applyFont="1" applyBorder="1" applyAlignment="1">
      <alignment horizontal="center" vertical="center" wrapText="1" readingOrder="1"/>
    </xf>
    <xf numFmtId="0" fontId="0" fillId="0" borderId="14" xfId="0" applyBorder="1"/>
    <xf numFmtId="14" fontId="10" fillId="0" borderId="12" xfId="0" applyNumberFormat="1" applyFont="1" applyBorder="1" applyAlignment="1">
      <alignment horizontal="center" vertical="center" wrapText="1" readingOrder="1"/>
    </xf>
    <xf numFmtId="0" fontId="7" fillId="0" borderId="13" xfId="0" applyFont="1" applyBorder="1"/>
    <xf numFmtId="0" fontId="4" fillId="0" borderId="15" xfId="0" applyFont="1" applyBorder="1" applyAlignment="1">
      <alignment horizontal="center"/>
    </xf>
    <xf numFmtId="0" fontId="0" fillId="0" borderId="15" xfId="0" applyBorder="1"/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/>
    <xf numFmtId="0" fontId="0" fillId="0" borderId="10" xfId="0" applyBorder="1"/>
    <xf numFmtId="49" fontId="10" fillId="0" borderId="6" xfId="0" applyNumberFormat="1" applyFont="1" applyBorder="1" applyAlignment="1">
      <alignment horizontal="center" vertical="center" wrapText="1" readingOrder="1"/>
    </xf>
    <xf numFmtId="0" fontId="1" fillId="0" borderId="14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43" fontId="11" fillId="0" borderId="0" xfId="1" applyFont="1" applyAlignment="1">
      <alignment horizontal="right"/>
    </xf>
    <xf numFmtId="43" fontId="13" fillId="0" borderId="0" xfId="1" applyFont="1" applyAlignment="1">
      <alignment horizontal="right"/>
    </xf>
    <xf numFmtId="43" fontId="0" fillId="0" borderId="4" xfId="1" applyFont="1" applyBorder="1"/>
    <xf numFmtId="43" fontId="9" fillId="0" borderId="5" xfId="1" applyFont="1" applyBorder="1"/>
    <xf numFmtId="43" fontId="11" fillId="0" borderId="13" xfId="1" applyFont="1" applyBorder="1"/>
    <xf numFmtId="43" fontId="11" fillId="0" borderId="7" xfId="1" applyFont="1" applyBorder="1"/>
    <xf numFmtId="43" fontId="8" fillId="0" borderId="0" xfId="0" applyNumberFormat="1" applyFont="1"/>
    <xf numFmtId="43" fontId="9" fillId="0" borderId="9" xfId="0" applyNumberFormat="1" applyFont="1" applyBorder="1"/>
    <xf numFmtId="43" fontId="9" fillId="0" borderId="15" xfId="0" applyNumberFormat="1" applyFont="1" applyBorder="1"/>
    <xf numFmtId="43" fontId="0" fillId="0" borderId="0" xfId="0" applyNumberFormat="1"/>
    <xf numFmtId="43" fontId="9" fillId="0" borderId="16" xfId="0" applyNumberFormat="1" applyFont="1" applyBorder="1"/>
    <xf numFmtId="43" fontId="9" fillId="0" borderId="11" xfId="0" applyNumberFormat="1" applyFont="1" applyBorder="1"/>
    <xf numFmtId="43" fontId="14" fillId="0" borderId="0" xfId="1" applyFont="1" applyAlignment="1">
      <alignment horizontal="right"/>
    </xf>
    <xf numFmtId="43" fontId="9" fillId="0" borderId="0" xfId="0" applyNumberFormat="1" applyFont="1"/>
    <xf numFmtId="43" fontId="11" fillId="0" borderId="13" xfId="0" applyNumberFormat="1" applyFont="1" applyBorder="1"/>
    <xf numFmtId="43" fontId="1" fillId="0" borderId="4" xfId="0" applyNumberFormat="1" applyFont="1" applyBorder="1"/>
    <xf numFmtId="43" fontId="9" fillId="0" borderId="5" xfId="0" applyNumberFormat="1" applyFont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tabSelected="1" topLeftCell="A5" zoomScaleNormal="100" workbookViewId="0">
      <selection activeCell="F19" sqref="F19"/>
    </sheetView>
  </sheetViews>
  <sheetFormatPr defaultRowHeight="18.75" x14ac:dyDescent="0.3"/>
  <cols>
    <col min="1" max="1" width="18.7109375" customWidth="1"/>
    <col min="2" max="2" width="14.7109375" customWidth="1"/>
    <col min="3" max="3" width="34.7109375" bestFit="1" customWidth="1"/>
    <col min="4" max="6" width="15.7109375" customWidth="1"/>
    <col min="7" max="7" width="16.5703125" style="22" bestFit="1" customWidth="1"/>
    <col min="8" max="8" width="14.28515625" style="28" customWidth="1"/>
    <col min="9" max="9" width="13.28515625" style="29" customWidth="1"/>
    <col min="10" max="10" width="9.5703125" bestFit="1" customWidth="1"/>
    <col min="11" max="11" width="16" bestFit="1" customWidth="1"/>
  </cols>
  <sheetData>
    <row r="1" spans="1:11" ht="31.5" customHeight="1" x14ac:dyDescent="0.5">
      <c r="A1" s="1" t="s">
        <v>0</v>
      </c>
    </row>
    <row r="2" spans="1:11" ht="27" customHeight="1" x14ac:dyDescent="0.45">
      <c r="A2" s="2" t="s">
        <v>1</v>
      </c>
      <c r="B2" s="3"/>
      <c r="C2" s="3"/>
    </row>
    <row r="3" spans="1:11" ht="27" customHeight="1" x14ac:dyDescent="0.45">
      <c r="A3" s="2" t="s">
        <v>2</v>
      </c>
      <c r="B3" s="3"/>
      <c r="C3" s="3"/>
    </row>
    <row r="4" spans="1:11" ht="27.75" customHeight="1" thickBot="1" x14ac:dyDescent="0.5">
      <c r="A4" s="2" t="s">
        <v>3</v>
      </c>
      <c r="B4" s="3"/>
      <c r="C4" s="3"/>
    </row>
    <row r="5" spans="1:11" ht="16.5" customHeight="1" x14ac:dyDescent="0.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21" t="s">
        <v>10</v>
      </c>
      <c r="H5" s="19" t="s">
        <v>11</v>
      </c>
      <c r="I5" s="21" t="s">
        <v>12</v>
      </c>
      <c r="K5" s="19" t="s">
        <v>13</v>
      </c>
    </row>
    <row r="6" spans="1:11" ht="27.75" customHeight="1" thickBot="1" x14ac:dyDescent="0.5">
      <c r="A6" s="10" t="s">
        <v>14</v>
      </c>
      <c r="B6" s="20" t="s">
        <v>15</v>
      </c>
      <c r="C6" s="20"/>
      <c r="D6" s="20" t="s">
        <v>16</v>
      </c>
      <c r="E6" s="20" t="s">
        <v>16</v>
      </c>
      <c r="F6" s="20" t="s">
        <v>16</v>
      </c>
      <c r="K6" s="19" t="s">
        <v>17</v>
      </c>
    </row>
    <row r="7" spans="1:11" x14ac:dyDescent="0.3">
      <c r="A7" s="6"/>
      <c r="B7" s="7"/>
      <c r="C7" s="8" t="s">
        <v>18</v>
      </c>
      <c r="D7" s="30"/>
      <c r="E7" s="30"/>
      <c r="F7" s="31">
        <v>-5037</v>
      </c>
    </row>
    <row r="8" spans="1:11" x14ac:dyDescent="0.3">
      <c r="A8" s="15" t="s">
        <v>19</v>
      </c>
      <c r="B8" s="13">
        <v>131</v>
      </c>
      <c r="C8" s="5" t="s">
        <v>20</v>
      </c>
      <c r="D8" s="32">
        <v>545</v>
      </c>
      <c r="E8" s="32"/>
      <c r="F8" s="14"/>
      <c r="G8" s="22" t="s">
        <v>21</v>
      </c>
      <c r="H8" s="28">
        <v>895</v>
      </c>
      <c r="I8" s="29">
        <f>H8-D8</f>
        <v>350</v>
      </c>
    </row>
    <row r="9" spans="1:11" x14ac:dyDescent="0.3">
      <c r="A9" s="15" t="s">
        <v>19</v>
      </c>
      <c r="B9" s="13">
        <v>132</v>
      </c>
      <c r="C9" s="5" t="s">
        <v>20</v>
      </c>
      <c r="D9" s="32">
        <v>38</v>
      </c>
      <c r="E9" s="32"/>
      <c r="F9" s="14"/>
    </row>
    <row r="10" spans="1:11" x14ac:dyDescent="0.3">
      <c r="A10" s="15" t="s">
        <v>19</v>
      </c>
      <c r="B10" s="13">
        <v>133</v>
      </c>
      <c r="C10" s="5" t="s">
        <v>20</v>
      </c>
      <c r="D10" s="32">
        <v>20173</v>
      </c>
      <c r="E10" s="32"/>
      <c r="F10" s="14"/>
    </row>
    <row r="11" spans="1:11" ht="19.5" customHeight="1" thickBot="1" x14ac:dyDescent="0.35">
      <c r="A11" s="15"/>
      <c r="B11" s="13"/>
      <c r="C11" s="5"/>
      <c r="D11" s="32"/>
      <c r="E11" s="32"/>
      <c r="F11" s="14"/>
    </row>
    <row r="12" spans="1:11" ht="27.75" customHeight="1" thickBot="1" x14ac:dyDescent="0.5">
      <c r="A12" s="17" t="s">
        <v>14</v>
      </c>
      <c r="B12" s="18"/>
      <c r="C12" s="18"/>
      <c r="D12" s="36">
        <f>SUM(D8:D10)</f>
        <v>20756</v>
      </c>
      <c r="E12" s="36">
        <f>SUM(E8:E10)</f>
        <v>0</v>
      </c>
      <c r="F12" s="36">
        <f>F7+D12-E12</f>
        <v>15719</v>
      </c>
    </row>
    <row r="13" spans="1:11" ht="18.75" customHeight="1" x14ac:dyDescent="0.3">
      <c r="A13" s="26"/>
      <c r="B13" s="27"/>
      <c r="C13" s="8" t="s">
        <v>18</v>
      </c>
      <c r="D13" s="43"/>
      <c r="E13" s="43"/>
      <c r="F13" s="44">
        <f>F12</f>
        <v>15719</v>
      </c>
    </row>
    <row r="14" spans="1:11" x14ac:dyDescent="0.3">
      <c r="A14" s="15" t="s">
        <v>22</v>
      </c>
      <c r="B14" s="13" t="s">
        <v>23</v>
      </c>
      <c r="C14" s="16" t="s">
        <v>20</v>
      </c>
      <c r="D14" s="42">
        <v>5800</v>
      </c>
      <c r="E14" s="42"/>
      <c r="F14" s="25"/>
    </row>
    <row r="15" spans="1:11" x14ac:dyDescent="0.3">
      <c r="A15" s="15" t="s">
        <v>22</v>
      </c>
      <c r="B15" s="13" t="s">
        <v>24</v>
      </c>
      <c r="C15" s="16" t="s">
        <v>20</v>
      </c>
      <c r="D15" s="42">
        <v>5000</v>
      </c>
      <c r="E15" s="42"/>
      <c r="F15" s="25"/>
    </row>
    <row r="16" spans="1:11" ht="18.75" customHeight="1" x14ac:dyDescent="0.3">
      <c r="A16" s="15" t="s">
        <v>22</v>
      </c>
      <c r="B16" s="13"/>
      <c r="C16" s="16" t="s">
        <v>25</v>
      </c>
      <c r="D16" s="42"/>
      <c r="E16" s="42">
        <v>5000</v>
      </c>
      <c r="F16" s="25"/>
    </row>
    <row r="17" spans="1:11" ht="18.75" customHeight="1" x14ac:dyDescent="0.3">
      <c r="A17" s="15" t="s">
        <v>26</v>
      </c>
      <c r="B17" s="13" t="s">
        <v>23</v>
      </c>
      <c r="C17" s="16" t="s">
        <v>20</v>
      </c>
      <c r="D17" s="42">
        <v>5800</v>
      </c>
      <c r="E17" s="42"/>
      <c r="F17" s="25"/>
    </row>
    <row r="18" spans="1:11" ht="18.75" customHeight="1" x14ac:dyDescent="0.3">
      <c r="A18" s="24"/>
      <c r="B18" s="9"/>
      <c r="C18" s="9"/>
      <c r="D18" s="33"/>
      <c r="E18" s="33"/>
      <c r="F18" s="12"/>
      <c r="G18" s="34"/>
    </row>
    <row r="19" spans="1:11" ht="27" x14ac:dyDescent="0.45">
      <c r="A19" s="10" t="s">
        <v>14</v>
      </c>
      <c r="B19" s="11"/>
      <c r="C19" s="23"/>
      <c r="D19" s="38">
        <f>SUM(D13:D18)</f>
        <v>16600</v>
      </c>
      <c r="E19" s="39">
        <f>SUM(E13:E18)</f>
        <v>5000</v>
      </c>
      <c r="F19" s="35">
        <f>F13+D19-E19</f>
        <v>27319</v>
      </c>
      <c r="I19" s="40">
        <f>SUM(I8:I18)</f>
        <v>350</v>
      </c>
      <c r="J19" s="37"/>
      <c r="K19" s="41">
        <f>F19+I19</f>
        <v>27669</v>
      </c>
    </row>
  </sheetData>
  <pageMargins left="0.7" right="0.7" top="0.75" bottom="0.75" header="0.3" footer="0.3"/>
  <pageSetup paperSize="9" scale="32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 365</cp:lastModifiedBy>
  <dcterms:created xsi:type="dcterms:W3CDTF">2015-06-05T18:17:20Z</dcterms:created>
  <dcterms:modified xsi:type="dcterms:W3CDTF">2026-09-20T08:42:32Z</dcterms:modified>
</cp:coreProperties>
</file>